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Attribution" sheetId="1" r:id="rId1"/>
    <sheet name="Proof States" sheetId="2" r:id="rId2"/>
  </sheets>
  <calcPr calcId="0" calcMode="auto" fullCalcOnLoad="1"/>
</workbook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164" fontId="0" fillId="0" borderId="0" xfId="0" applyNumberFormat="1"/>
    <xf numFmtId="10" fontId="0" fillId="0" borderId="0" xfId="0" applyNumberFormat="1"/>
    <xf numFmtId="0" fontId="0" fillId="0" borderId="1" xfId="0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Views>
    <sheetView workbookViewId="0" showGridLines="0"/>
  </sheetViews>
  <cols>
    <col min="1" max="1" width="34.0" customWidth="1"/>
    <col min="2" max="2" width="14.0" customWidth="1"/>
    <col min="3" max="3" width="12.0" customWidth="1"/>
    <col min="4" max="4" width="20.0" customWidth="1"/>
    <col min="5" max="5" width="39.0" customWidth="1"/>
    <col min="6" max="6" width="14.0" customWidth="1"/>
    <col min="7" max="7" width="12.0" customWidth="1"/>
  </cols>
  <sheetData>
    <row r="1">
      <c r="A1" s="2" t="inlineStr">
        <is>
          <t>Central P0 synthetic fixture</t>
        </is>
      </c>
      <c r="E1" s="2" t="inlineStr">
        <is>
          <t>One transferred seat synthetic failure</t>
        </is>
      </c>
    </row>
    <row r="2">
      <c r="A2" s="1" t="inlineStr">
        <is>
          <t>Player ID</t>
        </is>
      </c>
      <c r="B2" s="1" t="inlineStr">
        <is>
          <t>Bill BHD</t>
        </is>
      </c>
      <c r="C2" s="1" t="inlineStr">
        <is>
          <t>Net-new</t>
        </is>
      </c>
      <c r="D2" s="1" t="inlineStr">
        <is>
          <t>Source proof</t>
        </is>
      </c>
      <c r="E2" s="1" t="inlineStr">
        <is>
          <t>Player ID</t>
        </is>
      </c>
      <c r="F2" s="1" t="inlineStr">
        <is>
          <t>Bill BHD</t>
        </is>
      </c>
      <c r="G2" s="1" t="inlineStr">
        <is>
          <t>Net-new</t>
        </is>
      </c>
    </row>
    <row r="3">
      <c r="A3" s="5" t="inlineStr">
        <is>
          <t>p001</t>
        </is>
      </c>
      <c r="B3" s="3">
        <v>12</v>
      </c>
      <c r="C3" s="5" t="b">
        <v>1</v>
      </c>
      <c r="D3" s="5" t="inlineStr">
        <is>
          <t>synthetic_net_new</t>
        </is>
      </c>
      <c r="E3" s="5" t="inlineStr">
        <is>
          <t>p001</t>
        </is>
      </c>
      <c r="F3" s="3">
        <v>12</v>
      </c>
      <c r="G3" s="5" t="b">
        <v>1</v>
      </c>
    </row>
    <row r="4">
      <c r="A4" s="5" t="inlineStr">
        <is>
          <t>p002</t>
        </is>
      </c>
      <c r="B4" s="3">
        <v>12</v>
      </c>
      <c r="C4" s="5" t="b">
        <v>1</v>
      </c>
      <c r="D4" s="5" t="inlineStr">
        <is>
          <t>synthetic_net_new</t>
        </is>
      </c>
      <c r="E4" s="5" t="inlineStr">
        <is>
          <t>p002</t>
        </is>
      </c>
      <c r="F4" s="3">
        <v>12</v>
      </c>
      <c r="G4" s="5" t="b">
        <v>1</v>
      </c>
    </row>
    <row r="5">
      <c r="A5" s="5" t="inlineStr">
        <is>
          <t>p003</t>
        </is>
      </c>
      <c r="B5" s="3">
        <v>12</v>
      </c>
      <c r="C5" s="5" t="b">
        <v>1</v>
      </c>
      <c r="D5" s="5" t="inlineStr">
        <is>
          <t>synthetic_net_new</t>
        </is>
      </c>
      <c r="E5" s="5" t="inlineStr">
        <is>
          <t>p003</t>
        </is>
      </c>
      <c r="F5" s="3">
        <v>12</v>
      </c>
      <c r="G5" s="5" t="b">
        <v>1</v>
      </c>
    </row>
    <row r="6">
      <c r="A6" s="5" t="inlineStr">
        <is>
          <t>p004</t>
        </is>
      </c>
      <c r="B6" s="3">
        <v>12</v>
      </c>
      <c r="C6" s="5" t="b">
        <v>1</v>
      </c>
      <c r="D6" s="5" t="inlineStr">
        <is>
          <t>synthetic_net_new</t>
        </is>
      </c>
      <c r="E6" s="5" t="inlineStr">
        <is>
          <t>p004</t>
        </is>
      </c>
      <c r="F6" s="3">
        <v>12</v>
      </c>
      <c r="G6" s="5" t="b">
        <v>0</v>
      </c>
    </row>
    <row r="8">
      <c r="A8" s="5" t="inlineStr">
        <is>
          <t>Contribution margin</t>
        </is>
      </c>
      <c r="B8" s="4">
        <v>0.4</v>
      </c>
      <c r="F8" s="4">
        <v>0.4</v>
      </c>
    </row>
    <row r="9">
      <c r="A9" s="5" t="inlineStr">
        <is>
          <t>Incremental overhead BHD</t>
        </is>
      </c>
      <c r="B9" s="3">
        <v>5</v>
      </c>
      <c r="F9" s="3">
        <v>5</v>
      </c>
    </row>
    <row r="10">
      <c r="A10" s="5" t="inlineStr">
        <is>
          <t>DM cost BHD</t>
        </is>
      </c>
      <c r="B10" s="3">
        <v>10</v>
      </c>
      <c r="F10" s="3">
        <v>10</v>
      </c>
    </row>
    <row r="11">
      <c r="A11" s="5" t="inlineStr">
        <is>
          <t>Discounts BHD</t>
        </is>
      </c>
      <c r="B11" s="3">
        <v>0</v>
      </c>
      <c r="F11" s="3">
        <v>0</v>
      </c>
    </row>
    <row r="12">
      <c r="A12" s="5" t="inlineStr">
        <is>
          <t>Refunds BHD</t>
        </is>
      </c>
      <c r="B12" s="3">
        <v>0</v>
      </c>
      <c r="F12" s="3">
        <v>0</v>
      </c>
    </row>
    <row r="13">
      <c r="A13" s="5" t="inlineStr">
        <is>
          <t>Fees BHD</t>
        </is>
      </c>
      <c r="B13" s="3">
        <v>0</v>
      </c>
      <c r="F13" s="3">
        <v>0</v>
      </c>
    </row>
    <row r="14">
      <c r="A14" s="5" t="inlineStr">
        <is>
          <t>Support labor BHD</t>
        </is>
      </c>
      <c r="B14" s="3">
        <v>0</v>
      </c>
      <c r="F14" s="3">
        <v>0</v>
      </c>
    </row>
    <row r="16">
      <c r="A16" s="5" t="inlineStr">
        <is>
          <t>Gross BHD</t>
        </is>
      </c>
      <c r="B16" s="3">
        <f>IF(COUNT(B3:B6)&lt;&gt;4,"UNAVAILABLE",SUM(B3:B6))</f>
        <v>48</v>
      </c>
      <c r="F16" s="3">
        <f>IF(COUNT(F3:F6)&lt;&gt;4,"UNAVAILABLE",SUM(F3:F6))</f>
        <v>48</v>
      </c>
    </row>
    <row r="17">
      <c r="A17" s="5" t="inlineStr">
        <is>
          <t>Net-new seat share</t>
        </is>
      </c>
      <c r="B17" s="4">
        <f>IF(COUNTA(C3:C6)&lt;&gt;4,"UNAVAILABLE",SUMPRODUCT(--C3:C6)/ROWS(C3:C6))</f>
        <v>1</v>
      </c>
      <c r="F17" s="4">
        <f>IF(COUNTA(G3:G6)&lt;&gt;4,"UNAVAILABLE",SUMPRODUCT(--G3:G6)/ROWS(G3:G6))</f>
        <v>0.75</v>
      </c>
    </row>
    <row r="18">
      <c r="A18" s="5" t="inlineStr">
        <is>
          <t>Attributable contribution BHD</t>
        </is>
      </c>
      <c r="B18" s="3">
        <f>IF(OR(COUNT(B3:B6)&lt;&gt;4,COUNTA(C3:C6)&lt;&gt;4,COUNT(B8:B14)&lt;&gt;7),"UNAVAILABLE",SUMPRODUCT(B3:B6,--C3:C6)*B8-B9-B10-B11-B12-B13-B14)</f>
        <v>4.2</v>
      </c>
      <c r="F18" s="3">
        <f>IF(OR(COUNT(F3:F6)&lt;&gt;4,COUNTA(G3:G6)&lt;&gt;4,COUNT(F8:F14)&lt;&gt;7),"UNAVAILABLE",SUMPRODUCT(F3:F6,--G3:G6)*F8-F9-F10-F11-F12-F13-F14)</f>
        <v>-0.6</v>
      </c>
    </row>
    <row r="19">
      <c r="A19" s="5" t="inlineStr">
        <is>
          <t>Non-negative</t>
        </is>
      </c>
      <c r="B19" s="5" t="b">
        <f>IF(NOT(ISNUMBER(B18)),"UNAVAILABLE",B18&gt;=0)</f>
        <v>1</v>
      </c>
      <c r="F19" s="5" t="b">
        <f>IF(NOT(ISNUMBER(F18)),"UNAVAILABLE",F18&gt;=0)</f>
        <v>0</v>
      </c>
    </row>
  </sheetData>
</worksheet>
</file>

<file path=xl/worksheets/sheet2.xml><?xml version="1.0" encoding="utf-8"?>
<worksheet xmlns="http://schemas.openxmlformats.org/spreadsheetml/2006/main">
  <sheetViews>
    <sheetView workbookViewId="0" showGridLines="0"/>
  </sheetViews>
  <cols>
    <col min="1" max="1" width="21.0" customWidth="1"/>
    <col min="2" max="2" width="21.0" customWidth="1"/>
    <col min="3" max="3" width="21.0" customWidth="1"/>
    <col min="4" max="4" width="26.0" customWidth="1"/>
  </cols>
  <sheetData>
    <row r="1">
      <c r="A1" s="1" t="inlineStr">
        <is>
          <t>State</t>
        </is>
      </c>
      <c r="B1" s="1" t="inlineStr">
        <is>
          <t>Synthetic evidence</t>
        </is>
      </c>
      <c r="C1" s="1" t="inlineStr">
        <is>
          <t>Live evidence</t>
        </is>
      </c>
      <c r="D1" s="1" t="inlineStr">
        <is>
          <t>May satisfy money gate</t>
        </is>
      </c>
    </row>
    <row r="2">
      <c r="A2" s="5" t="inlineStr">
        <is>
          <t>proposed</t>
        </is>
      </c>
      <c r="B2" s="5" t="inlineStr">
        <is>
          <t>SYNTHETIC</t>
        </is>
      </c>
      <c r="C2" s="5" t="inlineStr">
        <is>
          <t>UNAVAILABLE</t>
        </is>
      </c>
      <c r="D2" s="5" t="b">
        <v>0</v>
      </c>
    </row>
    <row r="3">
      <c r="A3" s="5" t="inlineStr">
        <is>
          <t>approved</t>
        </is>
      </c>
      <c r="B3" s="5" t="inlineStr">
        <is>
          <t>SYNTHETIC</t>
        </is>
      </c>
      <c r="C3" s="5" t="inlineStr">
        <is>
          <t>UNAVAILABLE</t>
        </is>
      </c>
      <c r="D3" s="5" t="b">
        <v>0</v>
      </c>
    </row>
    <row r="4">
      <c r="A4" s="5" t="inlineStr">
        <is>
          <t>delivered</t>
        </is>
      </c>
      <c r="B4" s="5" t="inlineStr">
        <is>
          <t>UNAVAILABLE</t>
        </is>
      </c>
      <c r="C4" s="5" t="inlineStr">
        <is>
          <t>UNAVAILABLE</t>
        </is>
      </c>
      <c r="D4" s="5" t="b">
        <v>0</v>
      </c>
    </row>
    <row r="5">
      <c r="A5" s="5" t="inlineStr">
        <is>
          <t>billed</t>
        </is>
      </c>
      <c r="B5" s="5" t="inlineStr">
        <is>
          <t>UNAVAILABLE</t>
        </is>
      </c>
      <c r="C5" s="5" t="inlineStr">
        <is>
          <t>UNAVAILABLE</t>
        </is>
      </c>
      <c r="D5" s="5" t="b">
        <v>0</v>
      </c>
    </row>
    <row r="6">
      <c r="A6" s="5" t="inlineStr">
        <is>
          <t>settled</t>
        </is>
      </c>
      <c r="B6" s="5" t="inlineStr">
        <is>
          <t>UNAVAILABLE</t>
        </is>
      </c>
      <c r="C6" s="5" t="inlineStr">
        <is>
          <t>UNAVAILABLE</t>
        </is>
      </c>
      <c r="D6" s="5" t="b">
        <v>0</v>
      </c>
    </row>
    <row r="7">
      <c r="A7" s="5" t="inlineStr">
        <is>
          <t>bank-reconciled</t>
        </is>
      </c>
      <c r="B7" s="5" t="inlineStr">
        <is>
          <t>UNAVAILABLE</t>
        </is>
      </c>
      <c r="C7" s="5" t="inlineStr">
        <is>
          <t>UNAVAILABLE</t>
        </is>
      </c>
      <c r="D7" s="5" t="b">
        <v>0</v>
      </c>
    </row>
  </sheetData>
</worksheet>
</file>